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622db6754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费用报价" sheetId="1" r:id="Rf746c9e08c0e4792"/>
    <x:sheet xmlns:r="http://schemas.openxmlformats.org/officeDocument/2006/relationships" name="房源与合同" sheetId="2" r:id="R7c242e9cc20a46b8"/>
    <x:sheet xmlns:r="http://schemas.openxmlformats.org/officeDocument/2006/relationships" name="验房交接" sheetId="3" r:id="Rb513c0940d4b4d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[Red](#,##0.00);0.00"/>
    <x:numFmt numFmtId="201" formatCode="0.##"/>
    <x:numFmt numFmtId="202" formatCode="0"/>
    <x:numFmt numFmtId="203" formatCode="0.0000"/>
    <x:numFmt numFmtId="204" formatCode="yyyy-mm-dd"/>
  </x:numFmts>
  <x:fonts count="6">
    <x:font>
      <x:sz val="11"/>
      <x:name val="Carlito"/>
    </x:font>
    <x:font>
      <x:sz val="11"/>
      <x:color rgb="FF203247"/>
      <x:name val="Microsoft YaHei"/>
    </x:font>
    <x:font>
      <x:b/>
      <x:sz val="17"/>
      <x:color rgb="FF233B57"/>
      <x:name val="Microsoft YaHei"/>
    </x:font>
    <x:font>
      <x:sz val="11"/>
      <x:color rgb="FF66758A"/>
      <x:name val="Microsoft YaHei"/>
    </x:font>
    <x:font>
      <x:b/>
      <x:sz val="11"/>
      <x:color rgb="FF203247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EAF0F7"/>
      </x:patternFill>
    </x:fill>
    <x:fill>
      <x:patternFill patternType="solid">
        <x:fgColor rgb="FFDFE8F2"/>
      </x:patternFill>
    </x:fill>
    <x:fill>
      <x:patternFill patternType="solid">
        <x:fgColor rgb="FFFFF2CC"/>
      </x:patternFill>
    </x:fill>
    <x:fill>
      <x:patternFill patternType="solid">
        <x:fgColor rgb="FF233B57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AE2EB"/>
      </x:bottom>
      <x:diagonal/>
    </x:border>
    <x:border>
      <x:left/>
      <x:right/>
      <x:top/>
      <x:bottom style="thin">
        <x:color rgb="FFFFFFFF"/>
      </x:bottom>
      <x:diagonal/>
    </x:border>
    <x:border>
      <x:left/>
      <x:right/>
      <x:top style="thin">
        <x:color rgb="FFFFFFFF"/>
      </x:top>
      <x:bottom style="thin">
        <x:color rgb="FFFFFFFF"/>
      </x:bottom>
      <x:diagonal/>
    </x:border>
  </x:borders>
  <x:cellStyleXfs count="1">
    <x:xf numFmtId="0" fontId="0" fillId="0" borderId="0"/>
  </x:cellStyleXfs>
  <x:cellXfs count="3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0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vertical="center" wrapText="0"/>
    </x:xf>
    <x:xf numFmtId="200" fontId="1" fillId="2" borderId="0" xfId="0" applyNumberFormat="1" applyFont="1" applyFill="1" applyBorder="1" applyAlignment="1">
      <x:alignment horizontal="right" vertical="center" wrapText="0"/>
    </x:xf>
    <x:xf numFmtId="0" fontId="4" fillId="0" borderId="0" xfId="0" applyNumberFormat="1" applyFont="1" applyFill="1" applyBorder="1" applyAlignment="1">
      <x:alignment vertical="center" wrapText="0"/>
    </x:xf>
    <x:xf numFmtId="200" fontId="4" fillId="2" borderId="0" xfId="0" applyNumberFormat="1" applyFont="1" applyFill="1" applyBorder="1" applyAlignment="1">
      <x:alignment horizontal="right" vertical="center" wrapText="0"/>
    </x:xf>
    <x:xf numFmtId="0" fontId="1" fillId="3" borderId="0" xfId="0" applyNumberFormat="1" applyFont="1" applyFill="1" applyBorder="1" applyAlignment="1">
      <x:alignment vertical="center" wrapText="0"/>
    </x:xf>
    <x:xf numFmtId="0" fontId="4" fillId="3" borderId="0" xfId="0" applyNumberFormat="1" applyFont="1" applyFill="1" applyBorder="1" applyAlignment="1">
      <x:alignment vertical="center" wrapText="0"/>
    </x:xf>
    <x:xf numFmtId="0" fontId="1" fillId="4" borderId="0" xfId="0" applyNumberFormat="1" applyFont="1" applyFill="1" applyBorder="1" applyAlignment="1">
      <x:alignment vertical="center" wrapText="0"/>
    </x:xf>
    <x:xf numFmtId="0" fontId="1" fillId="4" borderId="2" xfId="0" applyNumberFormat="1" applyFont="1" applyFill="1" applyBorder="1" applyAlignment="1">
      <x:alignment vertical="center" wrapText="0"/>
    </x:xf>
    <x:xf numFmtId="200" fontId="1" fillId="4" borderId="2" xfId="0" applyNumberFormat="1" applyFont="1" applyFill="1" applyBorder="1" applyAlignment="1">
      <x:alignment vertical="center" wrapText="0"/>
    </x:xf>
    <x:xf numFmtId="200" fontId="1" fillId="4" borderId="2" xfId="0" applyNumberFormat="1" applyFont="1" applyFill="1" applyBorder="1" applyAlignment="1">
      <x:alignment horizontal="right" vertical="center" wrapText="0"/>
    </x:xf>
    <x:xf numFmtId="201" fontId="1" fillId="4" borderId="2" xfId="0" applyNumberFormat="1" applyFont="1" applyFill="1" applyBorder="1" applyAlignment="1">
      <x:alignment horizontal="right" vertical="center" wrapText="0"/>
    </x:xf>
    <x:xf numFmtId="202" fontId="1" fillId="4" borderId="2" xfId="0" applyNumberFormat="1" applyFont="1" applyFill="1" applyBorder="1" applyAlignment="1">
      <x:alignment horizontal="right" vertical="center" wrapText="0"/>
    </x:xf>
    <x:xf numFmtId="0" fontId="1" fillId="5" borderId="0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vertical="center" wrapText="0"/>
    </x:xf>
    <x:xf numFmtId="0" fontId="5" fillId="5" borderId="0" xfId="0" applyNumberFormat="1" applyFont="1" applyFill="1" applyBorder="1" applyAlignment="1">
      <x:alignment horizontal="center" vertical="center" wrapText="0"/>
    </x:xf>
    <x:xf numFmtId="0" fontId="1" fillId="4" borderId="3" xfId="0" applyNumberFormat="1" applyFont="1" applyFill="1" applyBorder="1" applyAlignment="1">
      <x:alignment vertical="center" wrapText="0"/>
    </x:xf>
    <x:xf numFmtId="200" fontId="1" fillId="4" borderId="3" xfId="0" applyNumberFormat="1" applyFont="1" applyFill="1" applyBorder="1" applyAlignment="1">
      <x:alignment vertical="center" wrapText="0"/>
    </x:xf>
    <x:xf numFmtId="200" fontId="1" fillId="4" borderId="3" xfId="0" applyNumberFormat="1" applyFont="1" applyFill="1" applyBorder="1" applyAlignment="1">
      <x:alignment horizontal="right" vertical="center" wrapText="0"/>
    </x:xf>
    <x:xf numFmtId="201" fontId="1" fillId="4" borderId="3" xfId="0" applyNumberFormat="1" applyFont="1" applyFill="1" applyBorder="1" applyAlignment="1">
      <x:alignment horizontal="right" vertical="center" wrapText="0"/>
    </x:xf>
    <x:xf numFmtId="203" fontId="1" fillId="4" borderId="2" xfId="0" applyNumberFormat="1" applyFont="1" applyFill="1" applyBorder="1" applyAlignment="1">
      <x:alignment horizontal="right" vertical="center" wrapText="0"/>
    </x:xf>
    <x:xf numFmtId="0" fontId="1" fillId="4" borderId="2" xfId="0" applyNumberFormat="1" applyFont="1" applyFill="1" applyBorder="1" applyAlignment="1">
      <x:alignment vertical="center" wrapText="1"/>
    </x:xf>
    <x:xf numFmtId="204" fontId="1" fillId="4" borderId="2" xfId="0" applyNumberFormat="1" applyFont="1" applyFill="1" applyBorder="1" applyAlignment="1">
      <x:alignment vertical="center" wrapText="0"/>
    </x:xf>
    <x:xf numFmtId="204" fontId="1" fillId="4" borderId="2" xfId="0" applyNumberFormat="1" applyFont="1" applyFill="1" applyBorder="1" applyAlignment="1">
      <x:alignment horizontal="right" vertical="center" wrapText="0"/>
    </x:xf>
  </x:cellXfs>
  <x:cellStyles count="1">
    <x:cellStyle name="Normal" xfId="0"/>
  </x:cellStyles>
  <x:dxfs count="3">
    <x:dxf>
      <x:font>
        <x:color rgb="FFA45218"/>
      </x:font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color rgb="FFA45218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e5fa93bb3b4fd3" /><Relationship Type="http://schemas.openxmlformats.org/officeDocument/2006/relationships/theme" Target="/xl/theme/theme1.xml" Id="R8c257fa216c44b64" /><Relationship Type="http://schemas.openxmlformats.org/officeDocument/2006/relationships/sharedStrings" Target="/xl/sharedStrings.xml" Id="R4fe34b7d04734b1e" /><Relationship Type="http://schemas.openxmlformats.org/officeDocument/2006/relationships/worksheet" Target="/xl/worksheets/sheet1.xml" Id="Rf746c9e08c0e4792" /><Relationship Type="http://schemas.openxmlformats.org/officeDocument/2006/relationships/worksheet" Target="/xl/worksheets/sheet2.xml" Id="R7c242e9cc20a46b8" /><Relationship Type="http://schemas.openxmlformats.org/officeDocument/2006/relationships/worksheet" Target="/xl/worksheets/sheet3.xml" Id="Rb513c0940d4b4d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33B5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1" hidden="0" customWidth="1"/>
    <x:col min="3" max="3" width="22" hidden="0" customWidth="1"/>
    <x:col min="4" max="4" width="18" hidden="0" customWidth="1"/>
    <x:col min="5" max="5" width="43" hidden="0" customWidth="1"/>
    <x:col min="6" max="6" width="18" hidden="0" customWidth="1"/>
  </x:cols>
  <x:sheetData>
    <x:row r="1" ht="29" customHeight="1">
      <x:c r="A1" s="3"/>
      <x:c r="B1" s="3"/>
      <x:c r="C1" s="3"/>
      <x:c r="D1" s="3"/>
      <x:c r="E1" s="3"/>
      <x:c r="F1" s="3"/>
    </x:row>
    <x:row r="2" ht="35" customHeight="1">
      <x:c r="A2" s="3"/>
      <x:c r="B2" s="4" t="str">
        <x:v>租房费用报价单</x:v>
      </x:c>
      <x:c r="C2" s="3"/>
      <x:c r="D2" s="3"/>
      <x:c r="E2" s="3"/>
      <x:c r="F2" s="3"/>
    </x:row>
    <x:row r="3" ht="29" customHeight="1">
      <x:c r="A3" s="3"/>
      <x:c r="B3" s="5"/>
      <x:c r="C3" s="5"/>
      <x:c r="D3" s="5"/>
      <x:c r="E3" s="5"/>
      <x:c r="F3" s="5"/>
    </x:row>
    <x:row r="4" ht="29" customHeight="1">
      <x:c r="A4" s="3"/>
      <x:c r="B4" s="6" t="str">
        <x:v>每套房另存一份。黄色格填写；蓝灰格自动计算。无收费填 0，未确认请留空。金额单位：元。</x:v>
      </x:c>
      <x:c r="C4" s="3"/>
      <x:c r="D4" s="3"/>
      <x:c r="E4" s="3"/>
      <x:c r="F4" s="3"/>
    </x:row>
    <x:row r="5" ht="29" customHeight="1">
      <x:c r="A5" s="3"/>
      <x:c r="B5" s="3"/>
      <x:c r="C5" s="3"/>
      <x:c r="D5" s="3"/>
      <x:c r="E5" s="3"/>
      <x:c r="F5" s="3"/>
    </x:row>
    <x:row r="6" ht="43" customHeight="1">
      <x:c r="A6" s="3"/>
      <x:c r="B6" s="11" t="str">
        <x:v>首月总共需付（含已付）</x:v>
      </x:c>
      <x:c r="C6" s="12" t="str">
        <x:f>C64</x:f>
        <x:v>待填写</x:v>
      </x:c>
      <x:c r="D6" s="3" t="str">
        <x:v>元</x:v>
      </x:c>
      <x:c r="E6" s="7" t="str">
        <x:v>含押金和预付款，用于判断首月资金需求。</x:v>
      </x:c>
      <x:c r="F6" s="3"/>
    </x:row>
    <x:row r="7" ht="43" customHeight="1">
      <x:c r="A7" s="3"/>
      <x:c r="B7" s="11" t="str">
        <x:v>首月还需准备</x:v>
      </x:c>
      <x:c r="C7" s="12" t="str">
        <x:f>C65</x:f>
        <x:v>待填写</x:v>
      </x:c>
      <x:c r="D7" s="3" t="str">
        <x:v>元</x:v>
      </x:c>
      <x:c r="E7" s="7" t="str">
        <x:v>已扣除已付且可抵扣款项。</x:v>
      </x:c>
      <x:c r="F7" s="3"/>
    </x:row>
    <x:row r="8" ht="43" customHeight="1">
      <x:c r="A8" s="3"/>
      <x:c r="B8" s="11" t="str">
        <x:v>每月预计支出</x:v>
      </x:c>
      <x:c r="C8" s="12" t="str">
        <x:f>C59</x:f>
        <x:v>待填写</x:v>
      </x:c>
      <x:c r="D8" s="3" t="str">
        <x:v>元</x:v>
      </x:c>
      <x:c r="E8" s="7" t="str">
        <x:v>月租、固定费用及水电燃气估算；不含押金。</x:v>
      </x:c>
      <x:c r="F8" s="3"/>
    </x:row>
    <x:row r="9" ht="43" customHeight="1">
      <x:c r="A9" s="3"/>
      <x:c r="B9" s="11" t="str">
        <x:v>可退押金合计</x:v>
      </x:c>
      <x:c r="C9" s="12" t="str">
        <x:f>C61</x:f>
        <x:v>待填写</x:v>
      </x:c>
      <x:c r="D9" s="3" t="str">
        <x:v>元</x:v>
      </x:c>
      <x:c r="E9" s="7" t="str">
        <x:v>退还时间、条件与扣款规则见“房源与合同”。</x:v>
      </x:c>
      <x:c r="F9" s="3"/>
    </x:row>
    <x:row r="10" ht="29" customHeight="1">
      <x:c r="A10" s="3"/>
      <x:c r="B10" s="3"/>
      <x:c r="C10" s="3"/>
      <x:c r="D10" s="3"/>
      <x:c r="E10" s="3"/>
      <x:c r="F10" s="3"/>
    </x:row>
    <x:row r="11" ht="29" customHeight="1">
      <x:c r="A11" s="3"/>
      <x:c r="B11" s="3"/>
      <x:c r="C11" s="3"/>
      <x:c r="D11" s="3"/>
      <x:c r="E11" s="3"/>
      <x:c r="F11" s="3"/>
    </x:row>
    <x:row r="12" ht="31" customHeight="1">
      <x:c r="A12" s="3"/>
      <x:c r="B12" s="14" t="str">
        <x:v>一、租金与付款方式</x:v>
      </x:c>
      <x:c r="C12" s="14"/>
      <x:c r="D12" s="14"/>
      <x:c r="E12" s="14"/>
      <x:c r="F12" s="14"/>
    </x:row>
    <x:row r="13" ht="58" customHeight="1">
      <x:c r="A13" s="3"/>
      <x:c r="B13" s="3" t="str">
        <x:v>房源编号 / 小区房号</x:v>
      </x:c>
      <x:c r="C13" s="29"/>
      <x:c r="D13" s="3" t="str"/>
      <x:c r="E13" s="7" t="str">
        <x:v>与另外两张表使用相同编号。</x:v>
      </x:c>
      <x:c r="F13" s="3"/>
    </x:row>
    <x:row r="14" ht="43" customHeight="1">
      <x:c r="A14" s="3"/>
      <x:c r="B14" s="3" t="str">
        <x:v>房租</x:v>
      </x:c>
      <x:c r="C14" s="18"/>
      <x:c r="D14" s="3" t="str">
        <x:v>元/月</x:v>
      </x:c>
      <x:c r="E14" s="7" t="str">
        <x:v>填写实际月租金。</x:v>
      </x:c>
      <x:c r="F14" s="3"/>
    </x:row>
    <x:row r="15" ht="43" customHeight="1">
      <x:c r="A15" s="3"/>
      <x:c r="B15" s="3" t="str">
        <x:v>押几个月</x:v>
      </x:c>
      <x:c r="C15" s="19"/>
      <x:c r="D15" s="3" t="str">
        <x:v>月</x:v>
      </x:c>
      <x:c r="E15" s="7" t="str">
        <x:v>押一填 1；免押填 0；特殊押金可在下方约定。</x:v>
      </x:c>
      <x:c r="F15" s="3"/>
    </x:row>
    <x:row r="16" ht="43" customHeight="1">
      <x:c r="A16" s="3"/>
      <x:c r="B16" s="3" t="str">
        <x:v>付几个月</x:v>
      </x:c>
      <x:c r="C16" s="20"/>
      <x:c r="D16" s="3" t="str">
        <x:v>月/次</x:v>
      </x:c>
      <x:c r="E16" s="7" t="str">
        <x:v>付三填 3；不等于只需支付第一个月租金。</x:v>
      </x:c>
      <x:c r="F16" s="3"/>
    </x:row>
    <x:row r="17" ht="43" customHeight="1">
      <x:c r="A17" s="3"/>
      <x:c r="B17" s="3" t="str">
        <x:v>租期</x:v>
      </x:c>
      <x:c r="C17" s="19"/>
      <x:c r="D17" s="3" t="str">
        <x:v>月</x:v>
      </x:c>
      <x:c r="E17" s="7" t="str">
        <x:v>用于核对付款周期；不足整月写入合同特殊约定。</x:v>
      </x:c>
      <x:c r="F17" s="3"/>
    </x:row>
    <x:row r="18" ht="43" customHeight="1">
      <x:c r="A18" s="3"/>
      <x:c r="B18" s="3" t="str">
        <x:v>首期租金约定额（选填）</x:v>
      </x:c>
      <x:c r="C18" s="18"/>
      <x:c r="D18" s="3" t="str">
        <x:v>元</x:v>
      </x:c>
      <x:c r="E18" s="7" t="str">
        <x:v>不足整月、免租或优惠时填实际应收；留空按月租×付几个月。</x:v>
      </x:c>
      <x:c r="F18" s="3"/>
    </x:row>
    <x:row r="19" ht="43" customHeight="1">
      <x:c r="A19" s="3"/>
      <x:c r="B19" s="3" t="str">
        <x:v>首期租金（自动）</x:v>
      </x:c>
      <x:c r="C19" s="10" t="str">
        <x:f>IF(ISNUMBER(C18),IF(C18&lt;0,"金额需非负",ROUND(C18,2)),IF(C18&lt;&gt;"","请输入数字",IF(COUNT(C14,C16)&lt;2,"待填写",IF(OR(C14&lt;=0,C16&lt;1,MOD(C16,1)&lt;&gt;0),"租金/周期有误",ROUND(C14*C16,2)))))</x:f>
        <x:v>待填写</x:v>
      </x:c>
      <x:c r="D19" s="3" t="str">
        <x:v>元</x:v>
      </x:c>
      <x:c r="E19" s="7" t="str">
        <x:v>优先使用约定额；约定额为 0 时按 0 计算。</x:v>
      </x:c>
      <x:c r="F19" s="3"/>
    </x:row>
    <x:row r="20" ht="43" customHeight="1">
      <x:c r="A20" s="3"/>
      <x:c r="B20" s="3" t="str">
        <x:v>房屋押金约定额（选填）</x:v>
      </x:c>
      <x:c r="C20" s="18"/>
      <x:c r="D20" s="3" t="str">
        <x:v>元</x:v>
      </x:c>
      <x:c r="E20" s="7" t="str">
        <x:v>固定金额或免押时可填写；留空按月租×押几个月。</x:v>
      </x:c>
      <x:c r="F20" s="3"/>
    </x:row>
    <x:row r="21" ht="43" customHeight="1">
      <x:c r="A21" s="3"/>
      <x:c r="B21" s="3" t="str">
        <x:v>房屋押金（自动）</x:v>
      </x:c>
      <x:c r="C21" s="10" t="str">
        <x:f>IF(ISNUMBER(C20),IF(C20&lt;0,"金额需非负",ROUND(C20,2)),IF(C20&lt;&gt;"","请输入数字",IF(COUNT(C14,C15)&lt;2,"待填写",IF(OR(C14&lt;=0,C15&lt;0),"租金/押金有误",ROUND(C14*C15,2)))))</x:f>
        <x:v>待填写</x:v>
      </x:c>
      <x:c r="D21" s="3" t="str">
        <x:v>元</x:v>
      </x:c>
      <x:c r="E21" s="7" t="str">
        <x:v>不含门禁、钥匙等其他押金。</x:v>
      </x:c>
      <x:c r="F21" s="3"/>
    </x:row>
    <x:row r="22" ht="29" customHeight="1">
      <x:c r="A22" s="3"/>
      <x:c r="B22" s="3"/>
      <x:c r="C22" s="3"/>
      <x:c r="D22" s="3"/>
      <x:c r="E22" s="3"/>
      <x:c r="F22" s="3"/>
    </x:row>
    <x:row r="23" ht="31" customHeight="1">
      <x:c r="A23" s="3"/>
      <x:c r="B23" s="23" t="str">
        <x:v>二、固定费用</x:v>
      </x:c>
      <x:c r="C23" s="23" t="str">
        <x:v>月均金额（元）</x:v>
      </x:c>
      <x:c r="D23" s="23" t="str">
        <x:v>首期预收月数</x:v>
      </x:c>
      <x:c r="E23" s="23" t="str">
        <x:v>填写口径</x:v>
      </x:c>
      <x:c r="F23" s="23" t="str"/>
    </x:row>
    <x:row r="24" ht="43" customHeight="1">
      <x:c r="A24" s="3"/>
      <x:c r="B24" s="3" t="str">
        <x:v>物业费</x:v>
      </x:c>
      <x:c r="C24" s="18"/>
      <x:c r="D24" s="19"/>
      <x:c r="E24" s="7" t="str">
        <x:v>包含在房租中填 0；按面积计费先折算月金额。</x:v>
      </x:c>
      <x:c r="F24" s="3"/>
    </x:row>
    <x:row r="25" ht="43" customHeight="1">
      <x:c r="A25" s="3"/>
      <x:c r="B25" s="3" t="str">
        <x:v>服务 / 管理费</x:v>
      </x:c>
      <x:c r="C25" s="26"/>
      <x:c r="D25" s="27"/>
      <x:c r="E25" s="7" t="str">
        <x:v>写清每月收取的服务费或管理费。</x:v>
      </x:c>
      <x:c r="F25" s="3"/>
    </x:row>
    <x:row r="26" ht="43" customHeight="1">
      <x:c r="A26" s="3"/>
      <x:c r="B26" s="3" t="str">
        <x:v>宽带费</x:v>
      </x:c>
      <x:c r="C26" s="26"/>
      <x:c r="D26" s="27"/>
      <x:c r="E26" s="7" t="str">
        <x:v>年付费用除以 12；首期年付则预收月数填 12。</x:v>
      </x:c>
      <x:c r="F26" s="3"/>
    </x:row>
    <x:row r="27" ht="43" customHeight="1">
      <x:c r="A27" s="3"/>
      <x:c r="B27" s="3" t="str">
        <x:v>停车费</x:v>
      </x:c>
      <x:c r="C27" s="26"/>
      <x:c r="D27" s="27"/>
      <x:c r="E27" s="7" t="str">
        <x:v>无需停车填 0。</x:v>
      </x:c>
      <x:c r="F27" s="3"/>
    </x:row>
    <x:row r="28" ht="43" customHeight="1">
      <x:c r="A28" s="3"/>
      <x:c r="B28" s="3" t="str">
        <x:v>供暖费（月均）</x:v>
      </x:c>
      <x:c r="C28" s="26"/>
      <x:c r="D28" s="27"/>
      <x:c r="E28" s="7" t="str">
        <x:v>全年供暖总额÷12；全年预收填 12，不随房租周期。</x:v>
      </x:c>
      <x:c r="F28" s="3"/>
    </x:row>
    <x:row r="29" ht="43" customHeight="1">
      <x:c r="A29" s="3"/>
      <x:c r="B29" s="3" t="str">
        <x:v>其他固定费用</x:v>
      </x:c>
      <x:c r="C29" s="26"/>
      <x:c r="D29" s="27"/>
      <x:c r="E29" s="7" t="str">
        <x:v>垃圾、公摊等月费；项目名称写入“房源与合同”。</x:v>
      </x:c>
      <x:c r="F29" s="3"/>
    </x:row>
    <x:row r="30" ht="43" customHeight="1">
      <x:c r="A30" s="3"/>
      <x:c r="B30" s="3" t="str">
        <x:v>固定费用小计</x:v>
      </x:c>
      <x:c r="C30" s="10" t="str">
        <x:f>IF(COUNT(C24,C25,C26,C27,C28,C29)&lt;6,"待填写",IF(MIN(C24,C25,C26,C27,C28,C29)&lt;0,"金额需非负",ROUND(SUM(C24:C29),2)))</x:f>
        <x:v>待填写</x:v>
      </x:c>
      <x:c r="D30" s="10" t="str">
        <x:f>IF(COUNT(C24,C25,C26,C27,C28,C29,D24,D25,D26,D27,D28,D29)&lt;12,"待填写",IF(MIN(C24,C25,C26,C27,C28,C29,D24,D25,D26,D27,D28,D29)&lt;0,"金额需非负",ROUND(SUMPRODUCT(C24:C29,D24:D29),2)))</x:f>
        <x:v>待填写</x:v>
      </x:c>
      <x:c r="E30" s="7" t="str">
        <x:v>C列为每月合计；D列为首期预收金额（元）。</x:v>
      </x:c>
      <x:c r="F30" s="3"/>
    </x:row>
    <x:row r="31" ht="29" customHeight="1">
      <x:c r="A31" s="3"/>
      <x:c r="B31" s="6" t="str">
        <x:v>首期未收的费用：预收月数填 0，首月另外要交的金额计入第 41 行。</x:v>
      </x:c>
      <x:c r="C31" s="3"/>
      <x:c r="D31" s="3"/>
      <x:c r="E31" s="3"/>
      <x:c r="F31" s="3"/>
    </x:row>
    <x:row r="32" ht="29" customHeight="1">
      <x:c r="A32" s="3"/>
      <x:c r="B32" s="3"/>
      <x:c r="C32" s="3"/>
      <x:c r="D32" s="3"/>
      <x:c r="E32" s="3"/>
      <x:c r="F32" s="3"/>
    </x:row>
    <x:row r="33" ht="31" customHeight="1">
      <x:c r="A33" s="3"/>
      <x:c r="B33" s="23" t="str">
        <x:v>三、水电燃气</x:v>
      </x:c>
      <x:c r="C33" s="23" t="str">
        <x:v>单价（元）</x:v>
      </x:c>
      <x:c r="D33" s="23" t="str">
        <x:v>预计月用量</x:v>
      </x:c>
      <x:c r="E33" s="23" t="str">
        <x:v>计费类型 / 阶梯价 / 分摊说明</x:v>
      </x:c>
      <x:c r="F33" s="23" t="str">
        <x:v>预计每月（元）</x:v>
      </x:c>
    </x:row>
    <x:row r="34" ht="42" customHeight="1">
      <x:c r="A34" s="3"/>
      <x:c r="B34" s="3" t="str">
        <x:v>水费（吨）</x:v>
      </x:c>
      <x:c r="C34" s="28"/>
      <x:c r="D34" s="18"/>
      <x:c r="E34" s="29"/>
      <x:c r="F34" s="10" t="str">
        <x:f>IF(COUNT(C34,D34)&lt;2,"待填写",IF(MIN(C34,D34)&lt;0,"金额需非负",ROUND(C34*D34,2)))</x:f>
        <x:v>待填写</x:v>
      </x:c>
    </x:row>
    <x:row r="35" ht="42" customHeight="1">
      <x:c r="A35" s="3"/>
      <x:c r="B35" s="3" t="str">
        <x:v>电费（度）</x:v>
      </x:c>
      <x:c r="C35" s="28"/>
      <x:c r="D35" s="18"/>
      <x:c r="E35" s="29"/>
      <x:c r="F35" s="10" t="str">
        <x:f>IF(COUNT(C35,D35)&lt;2,"待填写",IF(MIN(C35,D35)&lt;0,"金额需非负",ROUND(C35*D35,2)))</x:f>
        <x:v>待填写</x:v>
      </x:c>
    </x:row>
    <x:row r="36" ht="42" customHeight="1">
      <x:c r="A36" s="3"/>
      <x:c r="B36" s="3" t="str">
        <x:v>燃气费（立方米）</x:v>
      </x:c>
      <x:c r="C36" s="28"/>
      <x:c r="D36" s="18"/>
      <x:c r="E36" s="29"/>
      <x:c r="F36" s="10" t="str">
        <x:f>IF(COUNT(C36,D36)&lt;2,"待填写",IF(MIN(C36,D36)&lt;0,"金额需非负",ROUND(C36*D36,2)))</x:f>
        <x:v>待填写</x:v>
      </x:c>
    </x:row>
    <x:row r="37" ht="29" customHeight="1">
      <x:c r="A37" s="3"/>
      <x:c r="B37" s="3" t="str">
        <x:v>水电燃气预计合计</x:v>
      </x:c>
      <x:c r="C37" s="3"/>
      <x:c r="D37" s="3"/>
      <x:c r="E37" s="3"/>
      <x:c r="F37" s="10" t="str">
        <x:f>IF(COUNT(F34,F35,F36)&lt;3,"待填写",IF(MIN(F34,F35,F36)&lt;0,"金额需非负",ROUND(SUM(F34:F36),2)))</x:f>
        <x:v>待填写</x:v>
      </x:c>
    </x:row>
    <x:row r="38" ht="29" customHeight="1">
      <x:c r="A38" s="3"/>
      <x:c r="B38" s="6" t="str">
        <x:v>单价单位：水 元/吨，电 元/度，燃气 元/立方米。无此费用时单价、用量均填 0。</x:v>
      </x:c>
      <x:c r="C38" s="3"/>
      <x:c r="D38" s="3"/>
      <x:c r="E38" s="3"/>
      <x:c r="F38" s="3"/>
    </x:row>
    <x:row r="39" ht="29" customHeight="1">
      <x:c r="A39" s="3"/>
      <x:c r="B39" s="6" t="str">
        <x:v>说明栏请写民用/商用、独立表/分摊及收款方；阶梯或峰谷价格填预计均价，并写明依据。</x:v>
      </x:c>
      <x:c r="C39" s="3"/>
      <x:c r="D39" s="3"/>
      <x:c r="E39" s="3"/>
      <x:c r="F39" s="3"/>
    </x:row>
    <x:row r="40" ht="29" customHeight="1">
      <x:c r="A40" s="3"/>
      <x:c r="B40" s="3"/>
      <x:c r="C40" s="3"/>
      <x:c r="D40" s="3"/>
      <x:c r="E40" s="3"/>
      <x:c r="F40" s="3"/>
    </x:row>
    <x:row r="41" ht="43" customHeight="1">
      <x:c r="A41" s="3"/>
      <x:c r="B41" s="3" t="str">
        <x:v>首月入住后另外需付</x:v>
      </x:c>
      <x:c r="C41" s="18"/>
      <x:c r="D41" s="3" t="str">
        <x:v>元</x:v>
      </x:c>
      <x:c r="E41" s="7" t="str">
        <x:v>填首月尚未在首付款中覆盖的账单及搬家等支出；无则填 0。</x:v>
      </x:c>
      <x:c r="F41" s="3"/>
    </x:row>
    <x:row r="42" ht="29" customHeight="1">
      <x:c r="A42" s="3"/>
      <x:c r="B42" s="6" t="str">
        <x:v>第 41 行请勿重复计入已预交的房租、物业费或水电充值。首月金额不直接叠加整月预估水电费。</x:v>
      </x:c>
      <x:c r="C42" s="3"/>
      <x:c r="D42" s="3"/>
      <x:c r="E42" s="3"/>
      <x:c r="F42" s="3"/>
    </x:row>
    <x:row r="43" ht="31" customHeight="1">
      <x:c r="A43" s="3"/>
      <x:c r="B43" s="23" t="str">
        <x:v>四、签约 / 入住一次性费用</x:v>
      </x:c>
      <x:c r="C43" s="23" t="str">
        <x:v>本次应付（元）</x:v>
      </x:c>
      <x:c r="D43" s="23" t="str">
        <x:v>单位</x:v>
      </x:c>
      <x:c r="E43" s="23" t="str">
        <x:v>填写口径</x:v>
      </x:c>
      <x:c r="F43" s="23" t="str"/>
    </x:row>
    <x:row r="44" ht="43" customHeight="1">
      <x:c r="A44" s="3"/>
      <x:c r="B44" s="3" t="str">
        <x:v>中介费</x:v>
      </x:c>
      <x:c r="C44" s="18"/>
      <x:c r="D44" s="3" t="str">
        <x:v>元</x:v>
      </x:c>
      <x:c r="E44" s="7" t="str">
        <x:v>填租客实付额；收费比例及退费条件写入合同页。</x:v>
      </x:c>
      <x:c r="F44" s="3"/>
    </x:row>
    <x:row r="45" ht="43" customHeight="1">
      <x:c r="A45" s="3"/>
      <x:c r="B45" s="3" t="str">
        <x:v>保洁 / 入住费</x:v>
      </x:c>
      <x:c r="C45" s="26"/>
      <x:c r="D45" s="3" t="str">
        <x:v>元</x:v>
      </x:c>
      <x:c r="E45" s="7" t="str">
        <x:v>包括交房保洁等；约定退租保洁费写入合同页。</x:v>
      </x:c>
      <x:c r="F45" s="3"/>
    </x:row>
    <x:row r="46" ht="43" customHeight="1">
      <x:c r="A46" s="3"/>
      <x:c r="B46" s="3" t="str">
        <x:v>换锁 / 门禁开卡费</x:v>
      </x:c>
      <x:c r="C46" s="26"/>
      <x:c r="D46" s="3" t="str">
        <x:v>元</x:v>
      </x:c>
      <x:c r="E46" s="7" t="str">
        <x:v>仅填不退费用；可退部分填“其他可退押金”。</x:v>
      </x:c>
      <x:c r="F46" s="3"/>
    </x:row>
    <x:row r="47" ht="43" customHeight="1">
      <x:c r="A47" s="3"/>
      <x:c r="B47" s="3" t="str">
        <x:v>合同 / 手续费</x:v>
      </x:c>
      <x:c r="C47" s="26"/>
      <x:c r="D47" s="3" t="str">
        <x:v>元</x:v>
      </x:c>
      <x:c r="E47" s="7" t="str">
        <x:v>无收费填 0。</x:v>
      </x:c>
      <x:c r="F47" s="3"/>
    </x:row>
    <x:row r="48" ht="43" customHeight="1">
      <x:c r="A48" s="3"/>
      <x:c r="B48" s="3" t="str">
        <x:v>其他一次性费用</x:v>
      </x:c>
      <x:c r="C48" s="26"/>
      <x:c r="D48" s="3" t="str">
        <x:v>元</x:v>
      </x:c>
      <x:c r="E48" s="7" t="str">
        <x:v>填优惠后的应收额；项目名称写入合同页。</x:v>
      </x:c>
      <x:c r="F48" s="3"/>
    </x:row>
    <x:row r="49" ht="43" customHeight="1">
      <x:c r="A49" s="3"/>
      <x:c r="B49" s="3" t="str">
        <x:v>一次性费用合计</x:v>
      </x:c>
      <x:c r="C49" s="10" t="str">
        <x:f>IF(COUNT(C44,C45,C46,C47,C48)&lt;5,"待填写",IF(MIN(C44,C45,C46,C47,C48)&lt;0,"金额需非负",ROUND(SUM(C44:C48),2)))</x:f>
        <x:v>待填写</x:v>
      </x:c>
      <x:c r="D49" s="3" t="str">
        <x:v>元</x:v>
      </x:c>
      <x:c r="E49" s="7" t="str">
        <x:v>已列入签约 / 入住时的应付金额。</x:v>
      </x:c>
      <x:c r="F49" s="3"/>
    </x:row>
    <x:row r="50" ht="29" customHeight="1">
      <x:c r="A50" s="3"/>
      <x:c r="B50" s="3"/>
      <x:c r="C50" s="3"/>
      <x:c r="D50" s="3"/>
      <x:c r="E50" s="3"/>
      <x:c r="F50" s="3"/>
    </x:row>
    <x:row r="51" ht="31" customHeight="1">
      <x:c r="A51" s="3"/>
      <x:c r="B51" s="14" t="str">
        <x:v>五、充值、其他押金与已付款</x:v>
      </x:c>
      <x:c r="C51" s="14"/>
      <x:c r="D51" s="14"/>
      <x:c r="E51" s="14"/>
      <x:c r="F51" s="14"/>
    </x:row>
    <x:row r="52" ht="43" customHeight="1">
      <x:c r="A52" s="3"/>
      <x:c r="B52" s="3" t="str">
        <x:v>水电燃气等预充值</x:v>
      </x:c>
      <x:c r="C52" s="18"/>
      <x:c r="D52" s="3" t="str">
        <x:v>元</x:v>
      </x:c>
      <x:c r="E52" s="7" t="str">
        <x:v>预存余额，计入首付款；不用在第 41 行重复填写。</x:v>
      </x:c>
      <x:c r="F52" s="3"/>
    </x:row>
    <x:row r="53" ht="43" customHeight="1">
      <x:c r="A53" s="3"/>
      <x:c r="B53" s="3" t="str">
        <x:v>其他可退押金</x:v>
      </x:c>
      <x:c r="C53" s="18"/>
      <x:c r="D53" s="3" t="str">
        <x:v>元</x:v>
      </x:c>
      <x:c r="E53" s="7" t="str">
        <x:v>门禁、钥匙、家具等押金；不重复填房屋押金。</x:v>
      </x:c>
      <x:c r="F53" s="3"/>
    </x:row>
    <x:row r="54" ht="43" customHeight="1">
      <x:c r="A54" s="3"/>
      <x:c r="B54" s="3" t="str">
        <x:v>已付且可抵扣本次款项</x:v>
      </x:c>
      <x:c r="C54" s="18"/>
      <x:c r="D54" s="3" t="str">
        <x:v>元</x:v>
      </x:c>
      <x:c r="E54" s="7" t="str">
        <x:v>已交定金等；仅填收据及合同确认可抵扣的金额。</x:v>
      </x:c>
      <x:c r="F54" s="3"/>
    </x:row>
    <x:row r="55" ht="58" customHeight="1">
      <x:c r="A55" s="3"/>
      <x:c r="B55" s="3" t="str">
        <x:v>抵扣款项说明</x:v>
      </x:c>
      <x:c r="C55" s="29"/>
      <x:c r="D55" s="3" t="str"/>
      <x:c r="E55" s="7" t="str">
        <x:v>填写款项名称、付款日期及收据编号。</x:v>
      </x:c>
      <x:c r="F55" s="3"/>
    </x:row>
    <x:row r="56" ht="29" customHeight="1">
      <x:c r="A56" s="3"/>
      <x:c r="B56" s="3"/>
      <x:c r="C56" s="3"/>
      <x:c r="D56" s="3"/>
      <x:c r="E56" s="3"/>
      <x:c r="F56" s="3"/>
    </x:row>
    <x:row r="57" ht="31" customHeight="1">
      <x:c r="A57" s="3"/>
      <x:c r="B57" s="14" t="str">
        <x:v>六、费用汇总（自动）</x:v>
      </x:c>
      <x:c r="C57" s="14"/>
      <x:c r="D57" s="14"/>
      <x:c r="E57" s="14"/>
      <x:c r="F57" s="14"/>
    </x:row>
    <x:row r="58" ht="43" customHeight="1">
      <x:c r="A58" s="3"/>
      <x:c r="B58" s="11" t="str">
        <x:v>每月固定支出</x:v>
      </x:c>
      <x:c r="C58" s="12" t="str">
        <x:f>IF(COUNT(C14,C30)&lt;2,"待填写",IF(MIN(C14,C30)&lt;0,"金额需非负",ROUND(C14+C30,2)))</x:f>
        <x:v>待填写</x:v>
      </x:c>
      <x:c r="D58" s="3" t="str">
        <x:v>元</x:v>
      </x:c>
      <x:c r="E58" s="7" t="str">
        <x:v>含租金和固定费用，不含水电燃气。</x:v>
      </x:c>
      <x:c r="F58" s="3"/>
    </x:row>
    <x:row r="59" ht="43" customHeight="1">
      <x:c r="A59" s="3"/>
      <x:c r="B59" s="11" t="str">
        <x:v>每月预计支出</x:v>
      </x:c>
      <x:c r="C59" s="12" t="str">
        <x:f>IF(COUNT(C58,F37)&lt;2,"待填写",IF(MIN(C58,F37)&lt;0,"金额需非负",ROUND(C58+F37,2)))</x:f>
        <x:v>待填写</x:v>
      </x:c>
      <x:c r="D59" s="3" t="str">
        <x:v>元</x:v>
      </x:c>
      <x:c r="E59" s="7" t="str">
        <x:v>含预计水电燃气；实际按账单结算。</x:v>
      </x:c>
      <x:c r="F59" s="3"/>
    </x:row>
    <x:row r="60" ht="43" customHeight="1">
      <x:c r="A60" s="3"/>
      <x:c r="B60" s="11" t="str">
        <x:v>首期费用（不含押金充值）</x:v>
      </x:c>
      <x:c r="C60" s="12" t="str">
        <x:f>IF(COUNT(C19,D30,C49)&lt;3,"待填写",IF(MIN(C19,D30,C49)&lt;0,"金额需非负",ROUND(C19+D30+C49,2)))</x:f>
        <x:v>待填写</x:v>
      </x:c>
      <x:c r="D60" s="3" t="str">
        <x:v>元</x:v>
      </x:c>
      <x:c r="E60" s="7" t="str">
        <x:v>首期租金＋固定费用预收＋一次性费用。</x:v>
      </x:c>
      <x:c r="F60" s="3"/>
    </x:row>
    <x:row r="61" ht="43" customHeight="1">
      <x:c r="A61" s="3"/>
      <x:c r="B61" s="11" t="str">
        <x:v>可退押金合计</x:v>
      </x:c>
      <x:c r="C61" s="12" t="str">
        <x:f>IF(COUNT(C21,C53)&lt;2,"待填写",IF(MIN(C21,C53)&lt;0,"金额需非负",ROUND(C21+C53,2)))</x:f>
        <x:v>待填写</x:v>
      </x:c>
      <x:c r="D61" s="3" t="str">
        <x:v>元</x:v>
      </x:c>
      <x:c r="E61" s="7" t="str">
        <x:v>房屋押金＋其他可退押金；能否全退取决于约定及实际交接。</x:v>
      </x:c>
      <x:c r="F61" s="3"/>
    </x:row>
    <x:row r="62" ht="43" customHeight="1">
      <x:c r="A62" s="3"/>
      <x:c r="B62" s="11" t="str">
        <x:v>签约 / 入住应付总额</x:v>
      </x:c>
      <x:c r="C62" s="12" t="str">
        <x:f>IF(COUNT(C60,C61,C52)&lt;3,"待填写",IF(MIN(C60,C61,C52)&lt;0,"金额需非负",ROUND(C60+C61+C52,2)))</x:f>
        <x:v>待填写</x:v>
      </x:c>
      <x:c r="D62" s="3" t="str">
        <x:v>元</x:v>
      </x:c>
      <x:c r="E62" s="7" t="str">
        <x:v>首期费用＋押金＋预充值，包含已付可抵扣款。</x:v>
      </x:c>
      <x:c r="F62" s="3"/>
    </x:row>
    <x:row r="63" ht="43" customHeight="1">
      <x:c r="A63" s="3"/>
      <x:c r="B63" s="11" t="str">
        <x:v>签约 / 入住尚需支付</x:v>
      </x:c>
      <x:c r="C63" s="12" t="str">
        <x:f>IF(COUNT(C62,C54)&lt;2,"待填写",IF(C54&lt;0,"金额需非负",IF(C54&gt;C62,"抵扣超过应付",ROUND(C62-C54,2))))</x:f>
        <x:v>待填写</x:v>
      </x:c>
      <x:c r="D63" s="3" t="str">
        <x:v>元</x:v>
      </x:c>
      <x:c r="E63" s="7" t="str">
        <x:v>应付总额减去已付且可抵扣款项。</x:v>
      </x:c>
      <x:c r="F63" s="3"/>
    </x:row>
    <x:row r="64" ht="43" customHeight="1">
      <x:c r="A64" s="3"/>
      <x:c r="B64" s="11" t="str">
        <x:v>首月总共需付（含已付）</x:v>
      </x:c>
      <x:c r="C64" s="12" t="str">
        <x:f>IF(COUNT(C62,C41)&lt;2,"待填写",IF(MIN(C62,C41)&lt;0,"金额需非负",ROUND(C62+C41,2)))</x:f>
        <x:v>待填写</x:v>
      </x:c>
      <x:c r="D64" s="3" t="str">
        <x:v>元</x:v>
      </x:c>
      <x:c r="E64" s="7" t="str">
        <x:v>签约 / 入住应付总额＋首月入住后另外需付。</x:v>
      </x:c>
      <x:c r="F64" s="3"/>
    </x:row>
    <x:row r="65" ht="43" customHeight="1">
      <x:c r="A65" s="3"/>
      <x:c r="B65" s="11" t="str">
        <x:v>首月还需准备</x:v>
      </x:c>
      <x:c r="C65" s="12" t="str">
        <x:f>IF(COUNT(C63,C41)&lt;2,"待填写",IF(MIN(C63,C41)&lt;0,"金额需非负",ROUND(C63+C41,2)))</x:f>
        <x:v>待填写</x:v>
      </x:c>
      <x:c r="D65" s="3" t="str">
        <x:v>元</x:v>
      </x:c>
      <x:c r="E65" s="7" t="str">
        <x:v>签约 / 入住尚需支付＋首月入住后另外需付。</x:v>
      </x:c>
      <x:c r="F65" s="3"/>
    </x:row>
    <x:row r="66" ht="29" customHeight="1">
      <x:c r="A66" s="3"/>
      <x:c r="B66" s="3"/>
      <x:c r="C66" s="3"/>
      <x:c r="D66" s="3"/>
      <x:c r="E66" s="3"/>
      <x:c r="F66" s="3"/>
    </x:row>
    <x:row r="67" ht="43" customHeight="1">
      <x:c r="A67" s="3"/>
      <x:c r="B67" s="3" t="str">
        <x:v>付款周期核对</x:v>
      </x:c>
      <x:c r="C67" s="10" t="str">
        <x:f>IF(COUNT(C16:C17)&lt;2,"待填写",IF(OR(C16&lt;1,MOD(C16,1)&lt;&gt;0,C17&lt;=0),"请核对月数",IF(C16&gt;C17,"付款周期超过租期","已填写，请核对合同")))</x:f>
        <x:v>待填写</x:v>
      </x:c>
      <x:c r="D67" s="3" t="str"/>
      <x:c r="E67" s="7" t="str">
        <x:v>付几个月通常不应超过租期；特殊安排写入合同。</x:v>
      </x:c>
      <x:c r="F67" s="3"/>
    </x:row>
    <x:row r="68" ht="29" customHeight="1">
      <x:c r="A68" s="3"/>
      <x:c r="B68" s="3"/>
      <x:c r="C68" s="3"/>
      <x:c r="D68" s="3"/>
      <x:c r="E68" s="3"/>
      <x:c r="F68" s="3"/>
    </x:row>
    <x:row r="69" ht="58" customHeight="1">
      <x:c r="A69" s="3"/>
      <x:c r="B69" s="3" t="str">
        <x:v>中介填写人 / 公司</x:v>
      </x:c>
      <x:c r="C69" s="29"/>
      <x:c r="D69" s="3" t="str"/>
      <x:c r="E69" s="7" t="str">
        <x:v>请确认上述报价与实际合同一致。</x:v>
      </x:c>
      <x:c r="F69" s="3"/>
    </x:row>
    <x:row r="70" ht="43" customHeight="1">
      <x:c r="A70" s="3"/>
      <x:c r="B70" s="3" t="str">
        <x:v>报价日期</x:v>
      </x:c>
      <x:c r="C70" s="31"/>
      <x:c r="D70" s="3" t="str"/>
      <x:c r="E70" s="7" t="str">
        <x:v>请输入日期，如 2026-10-08。</x:v>
      </x:c>
      <x:c r="F70" s="3"/>
    </x:row>
    <x:row r="71" ht="58" customHeight="1">
      <x:c r="A71" s="3"/>
      <x:c r="B71" s="3" t="str">
        <x:v>报价有效期 / 待确认事项</x:v>
      </x:c>
      <x:c r="C71" s="29"/>
      <x:c r="D71" s="3" t="str"/>
      <x:c r="E71" s="7" t="str">
        <x:v>未确定的收费项目请明确写出。</x:v>
      </x:c>
      <x:c r="F71" s="3"/>
    </x:row>
  </x:sheetData>
  <x:conditionalFormatting sqref="C6:C9">
    <x:cfRule type="expression" dxfId="0" priority="1">
      <x:formula>C6="待填写"</x:formula>
    </x:cfRule>
  </x:conditionalFormatting>
  <x:dataValidations count="16">
    <x:dataValidation type="decimal" operator="between" sqref="C14">
      <x:formula1>0.01</x:formula1>
      <x:formula2>100000000</x:formula2>
    </x:dataValidation>
    <x:dataValidation type="decimal" operator="between" sqref="C15">
      <x:formula1>0</x:formula1>
      <x:formula2>120</x:formula2>
    </x:dataValidation>
    <x:dataValidation type="whole" operator="between" sqref="C16">
      <x:formula1>1</x:formula1>
      <x:formula2>120</x:formula2>
    </x:dataValidation>
    <x:dataValidation type="decimal" operator="between" sqref="C17">
      <x:formula1>0.01</x:formula1>
      <x:formula2>1200</x:formula2>
    </x:dataValidation>
    <x:dataValidation type="decimal" operator="between" sqref="C18">
      <x:formula1>0</x:formula1>
      <x:formula2>100000000</x:formula2>
    </x:dataValidation>
    <x:dataValidation type="decimal" operator="between" sqref="C20">
      <x:formula1>0</x:formula1>
      <x:formula2>100000000</x:formula2>
    </x:dataValidation>
    <x:dataValidation type="decimal" operator="between" sqref="C24:C29">
      <x:formula1>0</x:formula1>
      <x:formula2>100000000</x:formula2>
    </x:dataValidation>
    <x:dataValidation type="decimal" operator="between" sqref="D24:D29">
      <x:formula1>0</x:formula1>
      <x:formula2>120</x:formula2>
    </x:dataValidation>
    <x:dataValidation type="decimal" operator="between" sqref="C34:D34">
      <x:formula1>0</x:formula1>
      <x:formula2>100000000</x:formula2>
    </x:dataValidation>
    <x:dataValidation type="decimal" operator="between" sqref="C35:D35">
      <x:formula1>0</x:formula1>
      <x:formula2>100000000</x:formula2>
    </x:dataValidation>
    <x:dataValidation type="decimal" operator="between" sqref="C36:D36">
      <x:formula1>0</x:formula1>
      <x:formula2>100000000</x:formula2>
    </x:dataValidation>
    <x:dataValidation type="decimal" operator="between" sqref="C41">
      <x:formula1>0</x:formula1>
      <x:formula2>100000000</x:formula2>
    </x:dataValidation>
    <x:dataValidation type="decimal" operator="between" sqref="C44:C48">
      <x:formula1>0</x:formula1>
      <x:formula2>100000000</x:formula2>
    </x:dataValidation>
    <x:dataValidation type="decimal" operator="between" sqref="C52">
      <x:formula1>0</x:formula1>
      <x:formula2>100000000</x:formula2>
    </x:dataValidation>
    <x:dataValidation type="decimal" operator="between" sqref="C53">
      <x:formula1>0</x:formula1>
      <x:formula2>100000000</x:formula2>
    </x:dataValidation>
    <x:dataValidation type="decimal" operator="between" sqref="C54">
      <x:formula1>0</x:formula1>
      <x:formula2>100000000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33B5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1" hidden="0" customWidth="1"/>
    <x:col min="3" max="3" width="49" hidden="0" customWidth="1"/>
    <x:col min="4" max="4" width="70" hidden="0" customWidth="1"/>
    <x:col min="5" max="5" width="3" hidden="0" customWidth="1"/>
    <x:col min="6" max="6" width="3" hidden="0" customWidth="1"/>
  </x:cols>
  <x:sheetData>
    <x:row r="1" ht="29" customHeight="1">
      <x:c r="A1" s="3"/>
      <x:c r="B1" s="3"/>
      <x:c r="C1" s="3"/>
      <x:c r="D1" s="3"/>
      <x:c r="E1" s="3"/>
      <x:c r="F1" s="3"/>
    </x:row>
    <x:row r="2" ht="35" customHeight="1">
      <x:c r="A2" s="3"/>
      <x:c r="B2" s="4" t="str">
        <x:v>房源与合同确认</x:v>
      </x:c>
      <x:c r="C2" s="3"/>
      <x:c r="D2" s="3"/>
      <x:c r="E2" s="3"/>
      <x:c r="F2" s="3"/>
    </x:row>
    <x:row r="3" ht="29" customHeight="1">
      <x:c r="A3" s="3"/>
      <x:c r="B3" s="5"/>
      <x:c r="C3" s="5"/>
      <x:c r="D3" s="5"/>
      <x:c r="E3" s="5"/>
      <x:c r="F3" s="5"/>
    </x:row>
    <x:row r="4" ht="29" customHeight="1">
      <x:c r="A4" s="3"/>
      <x:c r="B4" s="6" t="str">
        <x:v>请中介填写黄色格。未知请写“待确认”，不适用请写“不适用”。收费、退租与维修承诺请落实到合同。</x:v>
      </x:c>
      <x:c r="C4" s="3"/>
      <x:c r="D4" s="3"/>
      <x:c r="E4" s="3"/>
      <x:c r="F4" s="3"/>
    </x:row>
    <x:row r="5" ht="29" customHeight="1">
      <x:c r="A5" s="3"/>
      <x:c r="B5" s="3"/>
      <x:c r="C5" s="3"/>
      <x:c r="D5" s="3"/>
      <x:c r="E5" s="3"/>
      <x:c r="F5" s="3"/>
    </x:row>
    <x:row r="6" ht="31" customHeight="1">
      <x:c r="A6" s="3"/>
      <x:c r="B6" s="23" t="str">
        <x:v>确认项目</x:v>
      </x:c>
      <x:c r="C6" s="23" t="str">
        <x:v>中介填写</x:v>
      </x:c>
      <x:c r="D6" s="23" t="str">
        <x:v>具体要确认什么</x:v>
      </x:c>
      <x:c r="E6" s="3"/>
      <x:c r="F6" s="3"/>
    </x:row>
    <x:row r="7" ht="45" customHeight="1">
      <x:c r="A7" s="3"/>
      <x:c r="B7" s="7" t="str">
        <x:v>房源编号 / 地址</x:v>
      </x:c>
      <x:c r="C7" s="29"/>
      <x:c r="D7" s="7" t="str">
        <x:v>小区、楼栋、房号，与费用页保持一致。</x:v>
      </x:c>
      <x:c r="E7" s="3"/>
      <x:c r="F7" s="3"/>
    </x:row>
    <x:row r="8" ht="45" customHeight="1">
      <x:c r="A8" s="3"/>
      <x:c r="B8" s="7" t="str">
        <x:v>中介公司 / 联系方式</x:v>
      </x:c>
      <x:c r="C8" s="29"/>
      <x:c r="D8" s="7" t="str">
        <x:v>公司、联系人、联系方式、报价有效期。</x:v>
      </x:c>
      <x:c r="E8" s="3"/>
      <x:c r="F8" s="3"/>
    </x:row>
    <x:row r="9" ht="31" customHeight="1">
      <x:c r="A9" s="3"/>
      <x:c r="B9" s="14" t="str">
        <x:v>一、房源与出租方</x:v>
      </x:c>
      <x:c r="C9" s="14"/>
      <x:c r="D9" s="14"/>
      <x:c r="E9" s="3"/>
      <x:c r="F9" s="3"/>
    </x:row>
    <x:row r="10" ht="45" customHeight="1">
      <x:c r="A10" s="3"/>
      <x:c r="B10" s="7" t="str">
        <x:v>出租方与签约主体</x:v>
      </x:c>
      <x:c r="C10" s="29"/>
      <x:c r="D10" s="7" t="str">
        <x:v>房东本人、受托人或运营公司；合同与收款方是否一致。</x:v>
      </x:c>
      <x:c r="E10" s="3"/>
      <x:c r="F10" s="3"/>
    </x:row>
    <x:row r="11" ht="45" customHeight="1">
      <x:c r="A11" s="3"/>
      <x:c r="B11" s="7" t="str">
        <x:v>产权 / 转租授权核验</x:v>
      </x:c>
      <x:c r="C11" s="29"/>
      <x:c r="D11" s="7" t="str">
        <x:v>是否已看产权证明；转租时核实授权及原租期。仅记录核验结果。</x:v>
      </x:c>
      <x:c r="E11" s="3"/>
      <x:c r="F11" s="3"/>
    </x:row>
    <x:row r="12" ht="45" customHeight="1">
      <x:c r="A12" s="3"/>
      <x:c r="B12" s="7" t="str">
        <x:v>收款方 / 收据或发票</x:v>
      </x:c>
      <x:c r="C12" s="29"/>
      <x:c r="D12" s="7" t="str">
        <x:v>收款主体、收据或发票是否提供；开票费用由谁承担。</x:v>
      </x:c>
      <x:c r="E12" s="3"/>
      <x:c r="F12" s="3"/>
    </x:row>
    <x:row r="13" ht="45" customHeight="1">
      <x:c r="A13" s="3"/>
      <x:c r="B13" s="7" t="str">
        <x:v>租赁类型 / 使用限制</x:v>
      </x:c>
      <x:c r="C13" s="29"/>
      <x:c r="D13" s="7" t="str">
        <x:v>整租、合租、独卫；能否做饭、养宠、访客留宿及人数限制。</x:v>
      </x:c>
      <x:c r="E13" s="3"/>
      <x:c r="F13" s="3"/>
    </x:row>
    <x:row r="14" ht="45" customHeight="1">
      <x:c r="A14" s="3"/>
      <x:c r="B14" s="7" t="str">
        <x:v>面积 / 户型 / 楼层</x:v>
      </x:c>
      <x:c r="C14" s="29"/>
      <x:c r="D14" s="7" t="str">
        <x:v>使用面积与标注面积、户型、朝向、楼层和电梯。</x:v>
      </x:c>
      <x:c r="E14" s="3"/>
      <x:c r="F14" s="3"/>
    </x:row>
    <x:row r="15" ht="45" customHeight="1">
      <x:c r="A15" s="3"/>
      <x:c r="B15" s="7" t="str">
        <x:v>通勤与周边</x:v>
      </x:c>
      <x:c r="C15" s="29"/>
      <x:c r="D15" s="7" t="str">
        <x:v>到公司单程分钟数、换乘、步行距离、购物与停车。</x:v>
      </x:c>
      <x:c r="E15" s="3"/>
      <x:c r="F15" s="3"/>
    </x:row>
    <x:row r="16" ht="45" customHeight="1">
      <x:c r="A16" s="3"/>
      <x:c r="B16" s="7" t="str">
        <x:v>噪音 / 采光 / 潮湿</x:v>
      </x:c>
      <x:c r="C16" s="29"/>
      <x:c r="D16" s="7" t="str">
        <x:v>临街、施工、隔音、日照、通风、漏水、发霉情况。</x:v>
      </x:c>
      <x:c r="E16" s="3"/>
      <x:c r="F16" s="3"/>
    </x:row>
    <x:row r="17" ht="45" customHeight="1">
      <x:c r="A17" s="3"/>
      <x:c r="B17" s="7" t="str">
        <x:v>合租与公共空间</x:v>
      </x:c>
      <x:c r="C17" s="29"/>
      <x:c r="D17" s="7" t="str">
        <x:v>室友人数、作息、访客、保洁、公共费用分摊办法。</x:v>
      </x:c>
      <x:c r="E17" s="3"/>
      <x:c r="F17" s="3"/>
    </x:row>
    <x:row r="18" ht="45" customHeight="1">
      <x:c r="A18" s="3"/>
      <x:c r="B18" s="7" t="str">
        <x:v>入住日期 / 交付状态</x:v>
      </x:c>
      <x:c r="C18" s="29"/>
      <x:c r="D18" s="7" t="str">
        <x:v>何时交钥匙；能否按时腾空、清洁，是否有未完成维修。</x:v>
      </x:c>
      <x:c r="E18" s="3"/>
      <x:c r="F18" s="3"/>
    </x:row>
    <x:row r="19" ht="31" customHeight="1">
      <x:c r="A19" s="3"/>
      <x:c r="B19" s="14" t="str">
        <x:v>二、合同、退租与责任</x:v>
      </x:c>
      <x:c r="C19" s="14"/>
      <x:c r="D19" s="14"/>
      <x:c r="E19" s="3"/>
      <x:c r="F19" s="3"/>
    </x:row>
    <x:row r="20" ht="45" customHeight="1">
      <x:c r="A20" s="3"/>
      <x:c r="B20" s="7" t="str">
        <x:v>合同起止日期 / 免租期</x:v>
      </x:c>
      <x:c r="C20" s="29"/>
      <x:c r="D20" s="7" t="str">
        <x:v>填写开始、结束、免租日期；不足整月怎么算。</x:v>
      </x:c>
      <x:c r="E20" s="3"/>
      <x:c r="F20" s="3"/>
    </x:row>
    <x:row r="21" ht="45" customHeight="1">
      <x:c r="A21" s="3"/>
      <x:c r="B21" s="7" t="str">
        <x:v>付款日 / 续租涨租</x:v>
      </x:c>
      <x:c r="C21" s="29"/>
      <x:c r="D21" s="7" t="str">
        <x:v>每次付款截止日、提前几天通知续租、涨租方式。</x:v>
      </x:c>
      <x:c r="E21" s="3"/>
      <x:c r="F21" s="3"/>
    </x:row>
    <x:row r="22" ht="45" customHeight="1">
      <x:c r="A22" s="3"/>
      <x:c r="B22" s="7" t="str">
        <x:v>押金退还时间 / 条件</x:v>
      </x:c>
      <x:c r="C22" s="29"/>
      <x:c r="D22" s="7" t="str">
        <x:v>退还期限、收款人、结算方式和需要满足的条件。</x:v>
      </x:c>
      <x:c r="E22" s="3"/>
      <x:c r="F22" s="3"/>
    </x:row>
    <x:row r="23" ht="45" customHeight="1">
      <x:c r="A23" s="3"/>
      <x:c r="B23" s="7" t="str">
        <x:v>押金可扣款项目 / 标准</x:v>
      </x:c>
      <x:c r="C23" s="29"/>
      <x:c r="D23" s="7" t="str">
        <x:v>损坏、清洁等扣款标准；正常损耗如何处理。</x:v>
      </x:c>
      <x:c r="E23" s="3"/>
      <x:c r="F23" s="3"/>
    </x:row>
    <x:row r="24" ht="45" customHeight="1">
      <x:c r="A24" s="3"/>
      <x:c r="B24" s="7" t="str">
        <x:v>提前退租 / 违约金</x:v>
      </x:c>
      <x:c r="C24" s="29"/>
      <x:c r="D24" s="7" t="str">
        <x:v>提前通知天数、违约金、剩余租金及押金如何处理。</x:v>
      </x:c>
      <x:c r="E24" s="3"/>
      <x:c r="F24" s="3"/>
    </x:row>
    <x:row r="25" ht="45" customHeight="1">
      <x:c r="A25" s="3"/>
      <x:c r="B25" s="7" t="str">
        <x:v>转租 / 换租 / 房东收回</x:v>
      </x:c>
      <x:c r="C25" s="29"/>
      <x:c r="D25" s="7" t="str">
        <x:v>是否允许、手续费用；房东提前收回时如何赔付。</x:v>
      </x:c>
      <x:c r="E25" s="3"/>
      <x:c r="F25" s="3"/>
    </x:row>
    <x:row r="26" ht="45" customHeight="1">
      <x:c r="A26" s="3"/>
      <x:c r="B26" s="7" t="str">
        <x:v>中介费计算 / 退款条件</x:v>
      </x:c>
      <x:c r="C26" s="29"/>
      <x:c r="D26" s="7" t="str">
        <x:v>按几个月租金或固定额；谁承担，签约失败是否退。</x:v>
      </x:c>
      <x:c r="E26" s="3"/>
      <x:c r="F26" s="3"/>
    </x:row>
    <x:row r="27" ht="45" customHeight="1">
      <x:c r="A27" s="3"/>
      <x:c r="B27" s="7" t="str">
        <x:v>维修责任 / 联系方式</x:v>
      </x:c>
      <x:c r="C27" s="29"/>
      <x:c r="D27" s="7" t="str">
        <x:v>家电、水管、门锁等由谁修、谁付钱、多久响应。</x:v>
      </x:c>
      <x:c r="E27" s="3"/>
      <x:c r="F27" s="3"/>
    </x:row>
    <x:row r="28" ht="45" customHeight="1">
      <x:c r="A28" s="3"/>
      <x:c r="B28" s="7" t="str">
        <x:v>新增收费 / 优惠条件</x:v>
      </x:c>
      <x:c r="C28" s="29"/>
      <x:c r="D28" s="7" t="str">
        <x:v>其他月费、一次性收费名称；优惠到期和退租后的补收。</x:v>
      </x:c>
      <x:c r="E28" s="3"/>
      <x:c r="F28" s="3"/>
    </x:row>
    <x:row r="29" ht="45" customHeight="1">
      <x:c r="A29" s="3"/>
      <x:c r="B29" s="7" t="str">
        <x:v>水电燃气计价 / 公摊</x:v>
      </x:c>
      <x:c r="C29" s="29"/>
      <x:c r="D29" s="7" t="str">
        <x:v>民用或商用、独立电表、阶梯峰谷、损耗、公摊依据。</x:v>
      </x:c>
      <x:c r="E29" s="3"/>
      <x:c r="F29" s="3"/>
    </x:row>
    <x:row r="30" ht="45" customHeight="1">
      <x:c r="A30" s="3"/>
      <x:c r="B30" s="7" t="str">
        <x:v>充值余额 / 供暖 / 宽带</x:v>
      </x:c>
      <x:c r="C30" s="29"/>
      <x:c r="D30" s="7" t="str">
        <x:v>退租余额是否退；供暖覆盖期、宽带运营商与安装解绑费。</x:v>
      </x:c>
      <x:c r="E30" s="3"/>
      <x:c r="F30" s="3"/>
    </x:row>
    <x:row r="31" ht="45" customHeight="1">
      <x:c r="A31" s="3"/>
      <x:c r="B31" s="7" t="str">
        <x:v>欠费 / 历史账单</x:v>
      </x:c>
      <x:c r="C31" s="29"/>
      <x:c r="D31" s="7" t="str">
        <x:v>水电燃气、物业、供暖是否欠费；交付前费用由谁结清。</x:v>
      </x:c>
      <x:c r="E31" s="3"/>
      <x:c r="F31" s="3"/>
    </x:row>
    <x:row r="32" ht="45" customHeight="1">
      <x:c r="A32" s="3"/>
      <x:c r="B32" s="7" t="str">
        <x:v>退租验收 / 保洁</x:v>
      </x:c>
      <x:c r="C32" s="29"/>
      <x:c r="D32" s="7" t="str">
        <x:v>验收人员、时间、标准；强制保洁及其他退租收费。</x:v>
      </x:c>
      <x:c r="E32" s="3"/>
      <x:c r="F32" s="3"/>
    </x:row>
    <x:row r="33" ht="45" customHeight="1">
      <x:c r="A33" s="3"/>
      <x:c r="B33" s="7" t="str">
        <x:v>登记 / 居住证等配合</x:v>
      </x:c>
      <x:c r="C33" s="29"/>
      <x:c r="D33" s="7" t="str">
        <x:v>有需要时，出租方能否配合及收费；以当地办理要求为准。</x:v>
      </x:c>
      <x:c r="E33" s="3"/>
      <x:c r="F33" s="3"/>
    </x:row>
    <x:row r="34" ht="31" customHeight="1">
      <x:c r="A34" s="3"/>
      <x:c r="B34" s="14" t="str">
        <x:v>三、房屋设施与居住体验</x:v>
      </x:c>
      <x:c r="C34" s="14"/>
      <x:c r="D34" s="14"/>
      <x:c r="E34" s="3"/>
      <x:c r="F34" s="3"/>
    </x:row>
    <x:row r="35" ht="45" customHeight="1">
      <x:c r="A35" s="3"/>
      <x:c r="B35" s="7" t="str">
        <x:v>家具家电清单</x:v>
      </x:c>
      <x:c r="C35" s="29"/>
      <x:c r="D35" s="7" t="str">
        <x:v>数量、品牌型号、新旧程度；交接页记录现状和损坏。</x:v>
      </x:c>
      <x:c r="E35" s="3"/>
      <x:c r="F35" s="3"/>
    </x:row>
    <x:row r="36" ht="45" customHeight="1">
      <x:c r="A36" s="3"/>
      <x:c r="B36" s="7" t="str">
        <x:v>消防 / 用电 / 燃气情况</x:v>
      </x:c>
      <x:c r="C36" s="29"/>
      <x:c r="D36" s="7" t="str">
        <x:v>出口是否畅通、门窗锁具、插座、燃气通风及设备状态。</x:v>
      </x:c>
      <x:c r="E36" s="3"/>
      <x:c r="F36" s="3"/>
    </x:row>
    <x:row r="37" ht="45" customHeight="1">
      <x:c r="A37" s="3"/>
      <x:c r="B37" s="7" t="str">
        <x:v>近期装修 / 异味</x:v>
      </x:c>
      <x:c r="C37" s="29"/>
      <x:c r="D37" s="7" t="str">
        <x:v>装修结束时间、异味、能否充分通风；相关检测资料如有。</x:v>
      </x:c>
      <x:c r="E37" s="3"/>
      <x:c r="F37" s="3"/>
    </x:row>
    <x:row r="38" ht="45" customHeight="1">
      <x:c r="A38" s="3"/>
      <x:c r="B38" s="7" t="str">
        <x:v>网络 / 信号 / 热水</x:v>
      </x:c>
      <x:c r="C38" s="29"/>
      <x:c r="D38" s="7" t="str">
        <x:v>手机信号、宽带、热水器类型、热水和水压情况。</x:v>
      </x:c>
      <x:c r="E38" s="3"/>
      <x:c r="F38" s="3"/>
    </x:row>
    <x:row r="39" ht="45" customHeight="1">
      <x:c r="A39" s="3"/>
      <x:c r="B39" s="7" t="str">
        <x:v>已承诺的整改 / 截止日</x:v>
      </x:c>
      <x:c r="C39" s="29"/>
      <x:c r="D39" s="7" t="str">
        <x:v>把维修、清洁、更换家电等逐项写清，约定完成时间。</x:v>
      </x:c>
      <x:c r="E39" s="3"/>
      <x:c r="F39" s="3"/>
    </x:row>
    <x:row r="40" ht="31" customHeight="1">
      <x:c r="A40" s="3"/>
      <x:c r="B40" s="14" t="str">
        <x:v>四、补充约定与确认</x:v>
      </x:c>
      <x:c r="C40" s="14"/>
      <x:c r="D40" s="14"/>
      <x:c r="E40" s="3"/>
      <x:c r="F40" s="3"/>
    </x:row>
    <x:row r="41" ht="45" customHeight="1">
      <x:c r="A41" s="3"/>
      <x:c r="B41" s="7" t="str">
        <x:v>补充条款 / 证据位置</x:v>
      </x:c>
      <x:c r="C41" s="29"/>
      <x:c r="D41" s="7" t="str">
        <x:v>承诺对应合同条款、附件或聊天记录位置，避免仅口头约定。</x:v>
      </x:c>
      <x:c r="E41" s="3"/>
      <x:c r="F41" s="3"/>
    </x:row>
    <x:row r="42" ht="45" customHeight="1">
      <x:c r="A42" s="3"/>
      <x:c r="B42" s="7" t="str">
        <x:v>尚未确认事项</x:v>
      </x:c>
      <x:c r="C42" s="29"/>
      <x:c r="D42" s="7" t="str">
        <x:v>明确内容、谁跟进、何时回复。</x:v>
      </x:c>
      <x:c r="E42" s="3"/>
      <x:c r="F42" s="3"/>
    </x:row>
    <x:row r="43" ht="45" customHeight="1">
      <x:c r="A43" s="3"/>
      <x:c r="B43" s="7" t="str">
        <x:v>中介确认人 / 日期</x:v>
      </x:c>
      <x:c r="C43" s="29"/>
      <x:c r="D43" s="7" t="str">
        <x:v>确认填写内容与当前报价和拟签合同一致。</x:v>
      </x:c>
      <x:c r="E43" s="3"/>
      <x:c r="F43" s="3"/>
    </x:row>
    <x:row r="44" ht="45" customHeight="1">
      <x:c r="A44" s="3"/>
      <x:c r="B44" s="7" t="str">
        <x:v>租客看房记录</x:v>
      </x:c>
      <x:c r="C44" s="29"/>
      <x:c r="D44" s="7" t="str">
        <x:v>由租客补充实际体验、待复核内容。</x:v>
      </x:c>
      <x:c r="E44" s="3"/>
      <x:c r="F44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33B57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33" hidden="0" customWidth="1"/>
    <x:col min="3" max="3" width="20" hidden="0" customWidth="1"/>
    <x:col min="4" max="4" width="55" hidden="0" customWidth="1"/>
    <x:col min="5" max="5" width="48" hidden="0" customWidth="1"/>
    <x:col min="6" max="6" width="3" hidden="0" customWidth="1"/>
  </x:cols>
  <x:sheetData>
    <x:row r="1" ht="29" customHeight="1">
      <x:c r="A1" s="3"/>
      <x:c r="B1" s="3"/>
      <x:c r="C1" s="3"/>
      <x:c r="D1" s="3"/>
      <x:c r="E1" s="3"/>
      <x:c r="F1" s="3"/>
    </x:row>
    <x:row r="2" ht="35" customHeight="1">
      <x:c r="A2" s="3"/>
      <x:c r="B2" s="4" t="str">
        <x:v>验房与交接记录</x:v>
      </x:c>
      <x:c r="C2" s="3"/>
      <x:c r="D2" s="3"/>
      <x:c r="E2" s="3"/>
      <x:c r="F2" s="3"/>
    </x:row>
    <x:row r="3" ht="29" customHeight="1">
      <x:c r="A3" s="3"/>
      <x:c r="B3" s="5"/>
      <x:c r="C3" s="5"/>
      <x:c r="D3" s="5"/>
      <x:c r="E3" s="5"/>
      <x:c r="F3" s="5"/>
    </x:row>
    <x:row r="4" ht="29" customHeight="1">
      <x:c r="A4" s="3"/>
      <x:c r="B4" s="6" t="str">
        <x:v>入住和退租分别留存一份。黄色格填写；验房时与中介核对现状，照片按房源编号保存。</x:v>
      </x:c>
      <x:c r="C4" s="3"/>
      <x:c r="D4" s="3"/>
      <x:c r="E4" s="3"/>
      <x:c r="F4" s="3"/>
    </x:row>
    <x:row r="5" ht="29" customHeight="1">
      <x:c r="A5" s="3"/>
      <x:c r="B5" s="3"/>
      <x:c r="C5" s="3"/>
      <x:c r="D5" s="3"/>
      <x:c r="E5" s="3"/>
      <x:c r="F5" s="3"/>
    </x:row>
    <x:row r="6" ht="29" customHeight="1">
      <x:c r="A6" s="3"/>
      <x:c r="B6" s="3" t="str">
        <x:v>房源编号</x:v>
      </x:c>
      <x:c r="C6" s="16"/>
      <x:c r="D6" s="3" t="str">
        <x:v>与费用报价页一致</x:v>
      </x:c>
      <x:c r="E6" s="3"/>
      <x:c r="F6" s="3"/>
    </x:row>
    <x:row r="7" ht="29" customHeight="1">
      <x:c r="A7" s="3"/>
      <x:c r="B7" s="3" t="str">
        <x:v>交接类型</x:v>
      </x:c>
      <x:c r="C7" s="16"/>
      <x:c r="D7" s="3" t="str">
        <x:v>交接日期</x:v>
      </x:c>
      <x:c r="E7" s="31"/>
      <x:c r="F7" s="3"/>
    </x:row>
    <x:row r="8" ht="29" customHeight="1">
      <x:c r="A8" s="3"/>
      <x:c r="B8" s="3"/>
      <x:c r="C8" s="3"/>
      <x:c r="D8" s="3"/>
      <x:c r="E8" s="3"/>
      <x:c r="F8" s="3"/>
    </x:row>
    <x:row r="9" ht="31" customHeight="1">
      <x:c r="A9" s="3"/>
      <x:c r="B9" s="23" t="str">
        <x:v>检查项目</x:v>
      </x:c>
      <x:c r="C9" s="23" t="str">
        <x:v>状态</x:v>
      </x:c>
      <x:c r="D9" s="23" t="str">
        <x:v>现状 / 读数 / 数量 / 照片编号</x:v>
      </x:c>
      <x:c r="E9" s="23" t="str">
        <x:v>整改责任人 / 截止日 / 结算说明</x:v>
      </x:c>
      <x:c r="F9" s="3"/>
    </x:row>
    <x:row r="10" ht="44" customHeight="1">
      <x:c r="A10" s="3"/>
      <x:c r="B10" s="7" t="str">
        <x:v>墙面、天花、地板、渗漏发霉</x:v>
      </x:c>
      <x:c r="C10" s="29"/>
      <x:c r="D10" s="29"/>
      <x:c r="E10" s="29"/>
      <x:c r="F10" s="3"/>
    </x:row>
    <x:row r="11" ht="44" customHeight="1">
      <x:c r="A11" s="3"/>
      <x:c r="B11" s="7" t="str">
        <x:v>门窗、门锁、窗帘、纱窗</x:v>
      </x:c>
      <x:c r="C11" s="29"/>
      <x:c r="D11" s="29"/>
      <x:c r="E11" s="29"/>
      <x:c r="F11" s="3"/>
    </x:row>
    <x:row r="12" ht="44" customHeight="1">
      <x:c r="A12" s="3"/>
      <x:c r="B12" s="7" t="str">
        <x:v>床、床垫、衣柜、桌椅</x:v>
      </x:c>
      <x:c r="C12" s="29"/>
      <x:c r="D12" s="29"/>
      <x:c r="E12" s="29"/>
      <x:c r="F12" s="3"/>
    </x:row>
    <x:row r="13" ht="44" customHeight="1">
      <x:c r="A13" s="3"/>
      <x:c r="B13" s="7" t="str">
        <x:v>空调、冰箱、洗衣机</x:v>
      </x:c>
      <x:c r="C13" s="29"/>
      <x:c r="D13" s="29"/>
      <x:c r="E13" s="29"/>
      <x:c r="F13" s="3"/>
    </x:row>
    <x:row r="14" ht="44" customHeight="1">
      <x:c r="A14" s="3"/>
      <x:c r="B14" s="7" t="str">
        <x:v>热水器、灶具、抽油烟机</x:v>
      </x:c>
      <x:c r="C14" s="29"/>
      <x:c r="D14" s="29"/>
      <x:c r="E14" s="29"/>
      <x:c r="F14" s="3"/>
    </x:row>
    <x:row r="15" ht="44" customHeight="1">
      <x:c r="A15" s="3"/>
      <x:c r="B15" s="7" t="str">
        <x:v>水龙头、排水、马桶、水压</x:v>
      </x:c>
      <x:c r="C15" s="29"/>
      <x:c r="D15" s="29"/>
      <x:c r="E15" s="29"/>
      <x:c r="F15" s="3"/>
    </x:row>
    <x:row r="16" ht="44" customHeight="1">
      <x:c r="A16" s="3"/>
      <x:c r="B16" s="7" t="str">
        <x:v>插座、照明、断路器</x:v>
      </x:c>
      <x:c r="C16" s="29"/>
      <x:c r="D16" s="29"/>
      <x:c r="E16" s="29"/>
      <x:c r="F16" s="3"/>
    </x:row>
    <x:row r="17" ht="44" customHeight="1">
      <x:c r="A17" s="3"/>
      <x:c r="B17" s="7" t="str">
        <x:v>燃气阀门、通风、烟感、出口</x:v>
      </x:c>
      <x:c r="C17" s="29"/>
      <x:c r="D17" s="29"/>
      <x:c r="E17" s="29"/>
      <x:c r="F17" s="3"/>
    </x:row>
    <x:row r="18" ht="44" customHeight="1">
      <x:c r="A18" s="3"/>
      <x:c r="B18" s="7" t="str">
        <x:v>宽带、手机信号、门禁</x:v>
      </x:c>
      <x:c r="C18" s="29"/>
      <x:c r="D18" s="29"/>
      <x:c r="E18" s="29"/>
      <x:c r="F18" s="3"/>
    </x:row>
    <x:row r="19" ht="44" customHeight="1">
      <x:c r="A19" s="3"/>
      <x:c r="B19" s="7" t="str">
        <x:v>水表读数 / 余额</x:v>
      </x:c>
      <x:c r="C19" s="29"/>
      <x:c r="D19" s="29"/>
      <x:c r="E19" s="29"/>
      <x:c r="F19" s="3"/>
    </x:row>
    <x:row r="20" ht="44" customHeight="1">
      <x:c r="A20" s="3"/>
      <x:c r="B20" s="7" t="str">
        <x:v>电表读数 / 余额</x:v>
      </x:c>
      <x:c r="C20" s="29"/>
      <x:c r="D20" s="29"/>
      <x:c r="E20" s="29"/>
      <x:c r="F20" s="3"/>
    </x:row>
    <x:row r="21" ht="44" customHeight="1">
      <x:c r="A21" s="3"/>
      <x:c r="B21" s="7" t="str">
        <x:v>燃气表读数 / 余额</x:v>
      </x:c>
      <x:c r="C21" s="29"/>
      <x:c r="D21" s="29"/>
      <x:c r="E21" s="29"/>
      <x:c r="F21" s="3"/>
    </x:row>
    <x:row r="22" ht="44" customHeight="1">
      <x:c r="A22" s="3"/>
      <x:c r="B22" s="7" t="str">
        <x:v>钥匙、门禁卡数量</x:v>
      </x:c>
      <x:c r="C22" s="29"/>
      <x:c r="D22" s="29"/>
      <x:c r="E22" s="29"/>
      <x:c r="F22" s="3"/>
    </x:row>
    <x:row r="23" ht="44" customHeight="1">
      <x:c r="A23" s="3"/>
      <x:c r="B23" s="7" t="str">
        <x:v>卫生、遗留物品、原有损坏</x:v>
      </x:c>
      <x:c r="C23" s="29"/>
      <x:c r="D23" s="29"/>
      <x:c r="E23" s="29"/>
      <x:c r="F23" s="3"/>
    </x:row>
    <x:row r="24" ht="44" customHeight="1">
      <x:c r="A24" s="3"/>
      <x:c r="B24" s="7" t="str">
        <x:v>其他设施或约定</x:v>
      </x:c>
      <x:c r="C24" s="29"/>
      <x:c r="D24" s="29"/>
      <x:c r="E24" s="29"/>
      <x:c r="F24" s="3"/>
    </x:row>
    <x:row r="25" ht="29" customHeight="1">
      <x:c r="A25" s="3"/>
      <x:c r="B25" s="3"/>
      <x:c r="C25" s="3"/>
      <x:c r="D25" s="3"/>
      <x:c r="E25" s="3"/>
      <x:c r="F25" s="3"/>
    </x:row>
    <x:row r="26" ht="29" customHeight="1">
      <x:c r="A26" s="3"/>
      <x:c r="B26" s="3" t="str">
        <x:v>交付前欠费结清情况</x:v>
      </x:c>
      <x:c r="C26" s="3"/>
      <x:c r="D26" s="16"/>
      <x:c r="E26" s="16"/>
      <x:c r="F26" s="3"/>
    </x:row>
    <x:row r="27" ht="29" customHeight="1">
      <x:c r="A27" s="3"/>
      <x:c r="B27" s="3" t="str">
        <x:v>未完成整改 / 复验日期</x:v>
      </x:c>
      <x:c r="C27" s="3"/>
      <x:c r="D27" s="16"/>
      <x:c r="E27" s="16"/>
      <x:c r="F27" s="3"/>
    </x:row>
    <x:row r="28" ht="29" customHeight="1">
      <x:c r="A28" s="3"/>
      <x:c r="B28" s="3" t="str">
        <x:v>出租方 / 中介确认</x:v>
      </x:c>
      <x:c r="C28" s="3"/>
      <x:c r="D28" s="16"/>
      <x:c r="E28" s="16"/>
      <x:c r="F28" s="3"/>
    </x:row>
    <x:row r="29" ht="29" customHeight="1">
      <x:c r="A29" s="3"/>
      <x:c r="B29" s="3" t="str">
        <x:v>租客确认 / 日期</x:v>
      </x:c>
      <x:c r="C29" s="3"/>
      <x:c r="D29" s="16"/>
      <x:c r="E29" s="16"/>
      <x:c r="F29" s="3"/>
    </x:row>
    <x:row r="30" ht="29" customHeight="1">
      <x:c r="A30" s="3"/>
      <x:c r="B30" s="6" t="str">
        <x:v>表内仅记录核验结果；证件照片、合同和已填记录请私下保存。</x:v>
      </x:c>
      <x:c r="C30" s="3"/>
      <x:c r="D30" s="3"/>
      <x:c r="E30" s="3"/>
      <x:c r="F30" s="3"/>
    </x:row>
  </x:sheetData>
  <x:conditionalFormatting sqref="C10:C24">
    <x:cfRule type="expression" dxfId="1" priority="1">
      <x:formula>C10="有问题"</x:formula>
    </x:cfRule>
    <x:cfRule type="expression" dxfId="2" priority="2">
      <x:formula>C10="待检查"</x:formula>
    </x:cfRule>
  </x:conditionalFormatting>
  <x:dataValidations count="16">
    <x:dataValidation type="list" sqref="C7">
      <x:formula1>"入住,退租"</x:formula1>
    </x:dataValidation>
    <x:dataValidation type="list" sqref="C10">
      <x:formula1>"正常,有问题,待检查,不适用"</x:formula1>
    </x:dataValidation>
    <x:dataValidation type="list" sqref="C11">
      <x:formula1>"正常,有问题,待检查,不适用"</x:formula1>
    </x:dataValidation>
    <x:dataValidation type="list" sqref="C12">
      <x:formula1>"正常,有问题,待检查,不适用"</x:formula1>
    </x:dataValidation>
    <x:dataValidation type="list" sqref="C13">
      <x:formula1>"正常,有问题,待检查,不适用"</x:formula1>
    </x:dataValidation>
    <x:dataValidation type="list" sqref="C14">
      <x:formula1>"正常,有问题,待检查,不适用"</x:formula1>
    </x:dataValidation>
    <x:dataValidation type="list" sqref="C15">
      <x:formula1>"正常,有问题,待检查,不适用"</x:formula1>
    </x:dataValidation>
    <x:dataValidation type="list" sqref="C16">
      <x:formula1>"正常,有问题,待检查,不适用"</x:formula1>
    </x:dataValidation>
    <x:dataValidation type="list" sqref="C17">
      <x:formula1>"正常,有问题,待检查,不适用"</x:formula1>
    </x:dataValidation>
    <x:dataValidation type="list" sqref="C18">
      <x:formula1>"正常,有问题,待检查,不适用"</x:formula1>
    </x:dataValidation>
    <x:dataValidation type="list" sqref="C19">
      <x:formula1>"正常,有问题,待检查,不适用"</x:formula1>
    </x:dataValidation>
    <x:dataValidation type="list" sqref="C20">
      <x:formula1>"正常,有问题,待检查,不适用"</x:formula1>
    </x:dataValidation>
    <x:dataValidation type="list" sqref="C21">
      <x:formula1>"正常,有问题,待检查,不适用"</x:formula1>
    </x:dataValidation>
    <x:dataValidation type="list" sqref="C22">
      <x:formula1>"正常,有问题,待检查,不适用"</x:formula1>
    </x:dataValidation>
    <x:dataValidation type="list" sqref="C23">
      <x:formula1>"正常,有问题,待检查,不适用"</x:formula1>
    </x:dataValidation>
    <x:dataValidation type="list" sqref="C24">
      <x:formula1>"正常,有问题,待检查,不适用"</x:formula1>
    </x:dataValidation>
  </x:dataValidations>
  <x:pageMargins left="0.7" right="0.7" top="0.75" bottom="0.75" header="0.3" footer="0.3"/>
</x:worksheet>
</file>